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lestones" sheetId="2" state="visible" r:id="rId4"/>
    <sheet name="Deliverables" sheetId="3" state="visible" r:id="rId5"/>
    <sheet name="Tasks" sheetId="4" state="visible" r:id="rId6"/>
    <sheet name="Issues &amp; Risks" sheetId="5" state="visible" r:id="rId7"/>
    <sheet name="Progress History" sheetId="6" state="visible" r:id="rId8"/>
    <sheet name="Activity &amp; Audit" sheetId="7" state="visible" r:id="rId9"/>
  </sheets>
  <definedNames>
    <definedName function="false" hidden="true" localSheetId="6" name="_xlnm._FilterDatabase" vbProcedure="false">'Activity &amp; Audit'!$A$4:$G$8</definedName>
    <definedName function="false" hidden="true" localSheetId="2" name="_xlnm._FilterDatabase" vbProcedure="false">Deliverables!$A$4:$F$7</definedName>
    <definedName function="false" hidden="true" localSheetId="4" name="_xlnm._FilterDatabase" vbProcedure="false">'Issues &amp; Risks'!$A$4:$I$7</definedName>
    <definedName function="false" hidden="true" localSheetId="1" name="_xlnm._FilterDatabase" vbProcedure="false">Milestones!$A$4:$E$7</definedName>
    <definedName function="false" hidden="true" localSheetId="5" name="_xlnm._FilterDatabase" vbProcedure="false">'Progress History'!$A$4:$G$9</definedName>
    <definedName function="false" hidden="true" localSheetId="3" name="_xlnm._FilterDatabase" vbProcedure="false">Tasks!$A$4:$I$12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<sst xmlns="http://schemas.openxmlformats.org/spreadsheetml/2006/main" count="237" uniqueCount="142">
  <si>
    <t xml:space="preserve">PROJECT STATUS REPORT</t>
  </si>
  <si>
    <t xml:space="preserve">Monitoring PM Excel</t>
  </si>
  <si>
    <t xml:space="preserve">Period: April – Mei 2026   ·   Generated: 14 Aug 2026 06:18</t>
  </si>
  <si>
    <t xml:space="preserve">Project Code</t>
  </si>
  <si>
    <t xml:space="preserve">P001</t>
  </si>
  <si>
    <t xml:space="preserve">Owner</t>
  </si>
  <si>
    <t xml:space="preserve">Hanif Mu'taz</t>
  </si>
  <si>
    <t xml:space="preserve">Category</t>
  </si>
  <si>
    <t xml:space="preserve">Trial</t>
  </si>
  <si>
    <t xml:space="preserve">Sponsor</t>
  </si>
  <si>
    <t xml:space="preserve">Management</t>
  </si>
  <si>
    <t xml:space="preserve">Start Date</t>
  </si>
  <si>
    <t xml:space="preserve">01 Apr 2026</t>
  </si>
  <si>
    <t xml:space="preserve">Target Date</t>
  </si>
  <si>
    <t xml:space="preserve">06 Mei 2026</t>
  </si>
  <si>
    <t xml:space="preserve">Status</t>
  </si>
  <si>
    <t xml:space="preserve">Execution</t>
  </si>
  <si>
    <t xml:space="preserve">Priority</t>
  </si>
  <si>
    <t xml:space="preserve">High</t>
  </si>
  <si>
    <t xml:space="preserve">KEY METRICS</t>
  </si>
  <si>
    <t xml:space="preserve">Overall Progress</t>
  </si>
  <si>
    <t xml:space="preserve">Health</t>
  </si>
  <si>
    <t xml:space="preserve">Open Issues</t>
  </si>
  <si>
    <t xml:space="preserve">High/Critical Risks</t>
  </si>
  <si>
    <t xml:space="preserve">72%</t>
  </si>
  <si>
    <t xml:space="preserve">At Risk</t>
  </si>
  <si>
    <t xml:space="preserve">Overdue Tasks</t>
  </si>
  <si>
    <t xml:space="preserve">Milestones Done</t>
  </si>
  <si>
    <t xml:space="preserve">Health: At Risk — 1 high-impact issue · schedule variance 18% (waktu 90% vs progress 72%)</t>
  </si>
  <si>
    <t xml:space="preserve">MILESTONES</t>
  </si>
  <si>
    <t xml:space="preserve">Monitoring PM Excel · April – Mei 2026</t>
  </si>
  <si>
    <t xml:space="preserve">Milestone</t>
  </si>
  <si>
    <t xml:space="preserve">Progress</t>
  </si>
  <si>
    <t xml:space="preserve">M1 - Planning</t>
  </si>
  <si>
    <t xml:space="preserve">Hanif</t>
  </si>
  <si>
    <t xml:space="preserve">15 Apr 2026</t>
  </si>
  <si>
    <t xml:space="preserve">Done</t>
  </si>
  <si>
    <t xml:space="preserve">M2 - Development</t>
  </si>
  <si>
    <t xml:space="preserve">25 Apr 2026</t>
  </si>
  <si>
    <t xml:space="preserve">In Progress</t>
  </si>
  <si>
    <t xml:space="preserve">M3 - Testing &amp; Sign-off</t>
  </si>
  <si>
    <t xml:space="preserve">DELIVERABLES</t>
  </si>
  <si>
    <t xml:space="preserve">Deliverable</t>
  </si>
  <si>
    <t xml:space="preserve">Requirement &amp; Template Excel</t>
  </si>
  <si>
    <t xml:space="preserve">VBA Report Engine</t>
  </si>
  <si>
    <t xml:space="preserve">Validated PM Monitoring V1</t>
  </si>
  <si>
    <t xml:space="preserve">TASKS</t>
  </si>
  <si>
    <t xml:space="preserve">Task Code</t>
  </si>
  <si>
    <t xml:space="preserve">Task</t>
  </si>
  <si>
    <t xml:space="preserve">PIC</t>
  </si>
  <si>
    <t xml:space="preserve">Due Date</t>
  </si>
  <si>
    <t xml:space="preserve">Constraint</t>
  </si>
  <si>
    <t xml:space="preserve">Next Action</t>
  </si>
  <si>
    <t xml:space="preserve">P001.1</t>
  </si>
  <si>
    <t xml:space="preserve">Analisa kebutuhan data PM</t>
  </si>
  <si>
    <t xml:space="preserve">On Track</t>
  </si>
  <si>
    <t xml:space="preserve">10 Apr</t>
  </si>
  <si>
    <t xml:space="preserve">P001.2</t>
  </si>
  <si>
    <t xml:space="preserve">Desain template Excel</t>
  </si>
  <si>
    <t xml:space="preserve">15 Apr</t>
  </si>
  <si>
    <t xml:space="preserve">P001.3</t>
  </si>
  <si>
    <t xml:space="preserve">Develop VBA import &amp; parsing</t>
  </si>
  <si>
    <t xml:space="preserve">20 Apr</t>
  </si>
  <si>
    <t xml:space="preserve">P001.4</t>
  </si>
  <si>
    <t xml:space="preserve">Develop VBA laporan per-short</t>
  </si>
  <si>
    <t xml:space="preserve">25 Apr</t>
  </si>
  <si>
    <t xml:space="preserve">P001.5</t>
  </si>
  <si>
    <t xml:space="preserve">Develop VBA laporan monthly &amp; weekly</t>
  </si>
  <si>
    <t xml:space="preserve">Watch</t>
  </si>
  <si>
    <t xml:space="preserve">06 Mei</t>
  </si>
  <si>
    <t xml:space="preserve">Lanjut coding aggregate</t>
  </si>
  <si>
    <t xml:space="preserve">P001.6</t>
  </si>
  <si>
    <t xml:space="preserve">Meeting request feature baru</t>
  </si>
  <si>
    <t xml:space="preserve">Siapkan deck request</t>
  </si>
  <si>
    <t xml:space="preserve">P001.7</t>
  </si>
  <si>
    <t xml:space="preserve">Trial &amp; validasi data real</t>
  </si>
  <si>
    <t xml:space="preserve">Data belum matching manual</t>
  </si>
  <si>
    <t xml:space="preserve">Cek hasil vs data manual</t>
  </si>
  <si>
    <t xml:space="preserve">P001.8</t>
  </si>
  <si>
    <t xml:space="preserve">Review &amp; sign-off ke direktur</t>
  </si>
  <si>
    <t xml:space="preserve">Presentasi hasil trial</t>
  </si>
  <si>
    <t xml:space="preserve">ISSUES &amp; RISKS</t>
  </si>
  <si>
    <t xml:space="preserve">Type</t>
  </si>
  <si>
    <t xml:space="preserve">Title</t>
  </si>
  <si>
    <t xml:space="preserve">Severity</t>
  </si>
  <si>
    <t xml:space="preserve">Impact</t>
  </si>
  <si>
    <t xml:space="preserve">Probability</t>
  </si>
  <si>
    <t xml:space="preserve">Issue</t>
  </si>
  <si>
    <t xml:space="preserve">Data real belum matching hasil manual</t>
  </si>
  <si>
    <t xml:space="preserve">Validasi tertunda, sign-off berisiko mundur</t>
  </si>
  <si>
    <t xml:space="preserve">Open</t>
  </si>
  <si>
    <t xml:space="preserve">04 Mei</t>
  </si>
  <si>
    <t xml:space="preserve">Cek formula parsing vs manual</t>
  </si>
  <si>
    <t xml:space="preserve">Deck request feature belum siap</t>
  </si>
  <si>
    <t xml:space="preserve">Medium</t>
  </si>
  <si>
    <t xml:space="preserve">Meeting bisa mundur</t>
  </si>
  <si>
    <t xml:space="preserve">05 Mei</t>
  </si>
  <si>
    <t xml:space="preserve">Selesaikan deck</t>
  </si>
  <si>
    <t xml:space="preserve">Risk</t>
  </si>
  <si>
    <t xml:space="preserve">Sign-off direktur mundur</t>
  </si>
  <si>
    <t xml:space="preserve">Timeline mundur</t>
  </si>
  <si>
    <t xml:space="preserve">Mitigating</t>
  </si>
  <si>
    <t xml:space="preserve">Buffer 3 hari</t>
  </si>
  <si>
    <t xml:space="preserve">PROGRESS HISTORY</t>
  </si>
  <si>
    <t xml:space="preserve">Date</t>
  </si>
  <si>
    <t xml:space="preserve">Entity</t>
  </si>
  <si>
    <t xml:space="preserve">Previous</t>
  </si>
  <si>
    <t xml:space="preserve">New</t>
  </si>
  <si>
    <t xml:space="preserve">Delta</t>
  </si>
  <si>
    <t xml:space="preserve">Updated By</t>
  </si>
  <si>
    <t xml:space="preserve">Comment</t>
  </si>
  <si>
    <t xml:space="preserve">01 Mei 09:00</t>
  </si>
  <si>
    <t xml:space="preserve">Mulai trial</t>
  </si>
  <si>
    <t xml:space="preserve">02 Mei 10:00</t>
  </si>
  <si>
    <t xml:space="preserve">Setup data real</t>
  </si>
  <si>
    <t xml:space="preserve">03 Mei 14:00</t>
  </si>
  <si>
    <t xml:space="preserve">Cek batch pertama</t>
  </si>
  <si>
    <t xml:space="preserve">20 Apr 11:00</t>
  </si>
  <si>
    <t xml:space="preserve">Skeleton aggregate</t>
  </si>
  <si>
    <t xml:space="preserve">28 Apr 16:00</t>
  </si>
  <si>
    <t xml:space="preserve">Monthly report jalan</t>
  </si>
  <si>
    <t xml:space="preserve">ACTIVITY &amp; AUDIT TRAIL</t>
  </si>
  <si>
    <t xml:space="preserve">User</t>
  </si>
  <si>
    <t xml:space="preserve">Action</t>
  </si>
  <si>
    <t xml:space="preserve">Field</t>
  </si>
  <si>
    <t xml:space="preserve">Previous Value</t>
  </si>
  <si>
    <t xml:space="preserve">New Value</t>
  </si>
  <si>
    <t xml:space="preserve">status_change</t>
  </si>
  <si>
    <t xml:space="preserve">progress</t>
  </si>
  <si>
    <t xml:space="preserve">20</t>
  </si>
  <si>
    <t xml:space="preserve">30</t>
  </si>
  <si>
    <t xml:space="preserve">01 Mei 08:30</t>
  </si>
  <si>
    <t xml:space="preserve">created</t>
  </si>
  <si>
    <t xml:space="preserve">-</t>
  </si>
  <si>
    <t xml:space="preserve">Data belum matching</t>
  </si>
  <si>
    <t xml:space="preserve">25</t>
  </si>
  <si>
    <t xml:space="preserve">50</t>
  </si>
  <si>
    <t xml:space="preserve">25 Apr 17:10</t>
  </si>
  <si>
    <t xml:space="preserve">completed</t>
  </si>
  <si>
    <t xml:space="preserve">status</t>
  </si>
  <si>
    <t xml:space="preserve">in_progress</t>
  </si>
  <si>
    <t xml:space="preserve">done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</si>
</sst>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F55D4"/>
      <name val="Arial"/>
      <family val="0"/>
      <charset val="1"/>
    </font>
    <font>
      <b val="true"/>
      <sz val="13"/>
      <color rgb="FF1E3A8A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2F55D4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4"/>
      <color rgb="FF1E3A8A"/>
      <name val="Arial"/>
      <family val="0"/>
      <charset val="1"/>
    </font>
    <font>
      <b val="true"/>
      <sz val="10"/>
      <color rgb="FF9C4A00"/>
      <name val="Arial"/>
      <family val="0"/>
      <charset val="1"/>
    </font>
    <font>
      <b val="true"/>
      <sz val="14"/>
      <color rgb="FF2F55D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6B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F"/>
        <bgColor rgb="FFF5F7FF"/>
      </patternFill>
    </fill>
    <fill>
      <patternFill patternType="solid">
        <fgColor rgb="FF2F55D4"/>
        <bgColor rgb="FF0066CC"/>
      </patternFill>
    </fill>
    <fill>
      <patternFill patternType="solid">
        <fgColor rgb="FFF5F7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6E2"/>
      </left>
      <right style="thin">
        <color rgb="FFD0D6E2"/>
      </right>
      <top style="thin">
        <color rgb="FFD0D6E2"/>
      </top>
      <bottom style="thin">
        <color rgb="FFD0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F55D4"/>
          <bgColor rgb="FF000000"/>
        </patternFill>
      </fill>
    </dxf>
    <dxf>
      <fill>
        <patternFill patternType="solid">
          <fgColor rgb="FFF5F7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F"/>
          <bgColor rgb="FF000000"/>
        </patternFill>
      </fill>
    </dxf>
    <dxf>
      <fill>
        <patternFill patternType="solid">
          <fgColor rgb="FF0B6B2E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ont>
        <name val="Arial"/>
        <charset val="1"/>
        <family val="0"/>
        <b val="1"/>
        <color rgb="FF0B6B2E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E3A8A"/>
        <sz val="10"/>
      </font>
      <fill>
        <patternFill>
          <bgColor rgb="FFDDEBFF"/>
        </patternFill>
      </fill>
    </dxf>
    <dxf>
      <font>
        <name val="Arial"/>
        <charset val="1"/>
        <family val="0"/>
        <b val="1"/>
        <color rgb="FF8A6D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9C4A00"/>
        <sz val="10"/>
      </font>
      <fill>
        <patternFill>
          <bgColor rgb="FFFCE4C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FCE4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9C4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B6B2E"/>
      <rgbColor rgb="FF000080"/>
      <rgbColor rgb="FF8A6D00"/>
      <rgbColor rgb="FF800080"/>
      <rgbColor rgb="FF008080"/>
      <rgbColor rgb="FFF5F7FF"/>
      <rgbColor rgb="FF808080"/>
      <rgbColor rgb="FF9999FF"/>
      <rgbColor rgb="FF993366"/>
      <rgbColor rgb="FFFFF2CC"/>
      <rgbColor rgb="FFDDEBFF"/>
      <rgbColor rgb="FF660066"/>
      <rgbColor rgb="FFFF8080"/>
      <rgbColor rgb="FF0066CC"/>
      <rgbColor rgb="FFD0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6EFCE"/>
      <rgbColor rgb="FFFCE4CC"/>
      <rgbColor rgb="FF99CCFF"/>
      <rgbColor rgb="FFFF99CC"/>
      <rgbColor rgb="FFCC99FF"/>
      <rgbColor rgb="FFFFC7CE"/>
      <rgbColor rgb="FF2F55D4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C4A00"/>
      <rgbColor rgb="FF993366"/>
      <rgbColor rgb="FF1E3A8A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6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</row>
    <row r="3" customFormat="false" ht="16.15" hidden="false" customHeight="false" outlineLevel="0" collapsed="false">
      <c r="B3" s="2" t="s">
        <v>1</v>
      </c>
      <c r="C3" s="2"/>
      <c r="D3" s="2"/>
      <c r="E3" s="2"/>
    </row>
    <row r="4" customFormat="false" ht="15" hidden="false" customHeight="false" outlineLevel="0" collapsed="false">
      <c r="B4" s="3" t="s">
        <v>2</v>
      </c>
      <c r="C4" s="3"/>
      <c r="D4" s="3"/>
      <c r="E4" s="3"/>
    </row>
    <row r="6" customFormat="false" ht="15" hidden="false" customHeight="false" outlineLevel="0" collapsed="false">
      <c r="B6" s="4" t="s">
        <v>3</v>
      </c>
      <c r="C6" s="5" t="s">
        <v>4</v>
      </c>
      <c r="D6" s="4" t="s">
        <v>5</v>
      </c>
      <c r="E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  <c r="D7" s="4" t="s">
        <v>9</v>
      </c>
      <c r="E7" s="5" t="s">
        <v>10</v>
      </c>
    </row>
    <row r="8" customFormat="false" ht="15" hidden="false" customHeight="false" outlineLevel="0" collapsed="false">
      <c r="B8" s="4" t="s">
        <v>11</v>
      </c>
      <c r="C8" s="5" t="s">
        <v>12</v>
      </c>
      <c r="D8" s="4" t="s">
        <v>13</v>
      </c>
      <c r="E8" s="5" t="s">
        <v>14</v>
      </c>
    </row>
    <row r="9" customFormat="false" ht="15" hidden="false" customHeight="false" outlineLevel="0" collapsed="false">
      <c r="B9" s="4" t="s">
        <v>15</v>
      </c>
      <c r="C9" s="5" t="s">
        <v>16</v>
      </c>
      <c r="D9" s="4" t="s">
        <v>17</v>
      </c>
      <c r="E9" s="5" t="s">
        <v>18</v>
      </c>
    </row>
    <row r="11" customFormat="false" ht="15" hidden="false" customHeight="false" outlineLevel="0" collapsed="false">
      <c r="B11" s="6" t="s">
        <v>19</v>
      </c>
    </row>
    <row r="12" customFormat="false" ht="15" hidden="false" customHeight="false" outlineLevel="0" collapsed="false">
      <c r="B12" s="7" t="s">
        <v>20</v>
      </c>
      <c r="C12" s="7" t="s">
        <v>21</v>
      </c>
      <c r="D12" s="7" t="s">
        <v>22</v>
      </c>
      <c r="E12" s="7" t="s">
        <v>23</v>
      </c>
    </row>
    <row r="13" customFormat="false" ht="17.35" hidden="false" customHeight="false" outlineLevel="0" collapsed="false">
      <c r="B13" s="8" t="s">
        <v>24</v>
      </c>
      <c r="C13" s="8" t="s">
        <v>25</v>
      </c>
      <c r="D13" s="8" t="n">
        <v>2</v>
      </c>
      <c r="E13" s="8" t="n">
        <v>1</v>
      </c>
    </row>
    <row r="14" customFormat="false" ht="15" hidden="false" customHeight="false" outlineLevel="0" collapsed="false">
      <c r="B14" s="7" t="s">
        <v>26</v>
      </c>
      <c r="C14" s="7" t="s">
        <v>27</v>
      </c>
    </row>
    <row r="15" customFormat="false" ht="17.35" hidden="false" customHeight="false" outlineLevel="0" collapsed="false">
      <c r="B15" s="8" t="n">
        <v>0</v>
      </c>
      <c r="C15" s="8" t="n">
        <v>1</v>
      </c>
    </row>
    <row r="16" customFormat="false" ht="15" hidden="false" customHeight="true" outlineLevel="0" collapsed="false">
      <c r="B16" s="9" t="s">
        <v>28</v>
      </c>
      <c r="C16" s="9"/>
      <c r="D16" s="9"/>
      <c r="E16" s="9"/>
    </row>
  </sheetData>
  <mergeCells count="4">
    <mergeCell ref="B2:E2"/>
    <mergeCell ref="B3:E3"/>
    <mergeCell ref="B4:E4"/>
    <mergeCell ref="B16:E16"/>
  </mergeCells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0" t="s">
        <v>29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  <c r="G2" s="3"/>
    </row>
    <row r="4" customFormat="false" ht="25.5" hidden="false" customHeight="true" outlineLevel="0" collapsed="false">
      <c r="A4" s="11" t="s">
        <v>31</v>
      </c>
      <c r="B4" s="11" t="s">
        <v>5</v>
      </c>
      <c r="C4" s="11" t="s">
        <v>13</v>
      </c>
      <c r="D4" s="11" t="s">
        <v>32</v>
      </c>
      <c r="E4" s="11" t="s">
        <v>15</v>
      </c>
    </row>
    <row r="5" customFormat="false" ht="15" hidden="false" customHeight="false" outlineLevel="0" collapsed="false">
      <c r="A5" s="5" t="s">
        <v>33</v>
      </c>
      <c r="B5" s="12" t="s">
        <v>34</v>
      </c>
      <c r="C5" s="12" t="s">
        <v>35</v>
      </c>
      <c r="D5" s="13" t="n">
        <v>1</v>
      </c>
      <c r="E5" s="12" t="s">
        <v>36</v>
      </c>
    </row>
    <row r="6" customFormat="false" ht="15" hidden="false" customHeight="false" outlineLevel="0" collapsed="false">
      <c r="A6" s="14" t="s">
        <v>37</v>
      </c>
      <c r="B6" s="15" t="s">
        <v>34</v>
      </c>
      <c r="C6" s="15" t="s">
        <v>38</v>
      </c>
      <c r="D6" s="16" t="n">
        <v>0.8</v>
      </c>
      <c r="E6" s="15" t="s">
        <v>39</v>
      </c>
    </row>
    <row r="7" customFormat="false" ht="15" hidden="false" customHeight="false" outlineLevel="0" collapsed="false">
      <c r="A7" s="5" t="s">
        <v>40</v>
      </c>
      <c r="B7" s="12" t="s">
        <v>34</v>
      </c>
      <c r="C7" s="12" t="s">
        <v>14</v>
      </c>
      <c r="D7" s="13" t="n">
        <v>0.3</v>
      </c>
      <c r="E7" s="12" t="s">
        <v>39</v>
      </c>
    </row>
  </sheetData>
  <autoFilter ref="A4:E7"/>
  <mergeCells count="2">
    <mergeCell ref="A1:G1"/>
    <mergeCell ref="A2:G2"/>
  </mergeCells>
  <conditionalFormatting sqref="E5:E7">
    <cfRule type="expression" priority="2" aboveAverage="0" equalAverage="0" bottom="0" percent="0" rank="0" text="" dxfId="9">
      <formula>ISNUMBER(SEARCH("Done",E5))</formula>
    </cfRule>
    <cfRule type="expression" priority="3" aboveAverage="0" equalAverage="0" bottom="0" percent="0" rank="0" text="" dxfId="9">
      <formula>ISNUMBER(SEARCH("done",E5))</formula>
    </cfRule>
    <cfRule type="expression" priority="4" aboveAverage="0" equalAverage="0" bottom="0" percent="0" rank="0" text="" dxfId="9">
      <formula>ISNUMBER(SEARCH("On Track",E5))</formula>
    </cfRule>
    <cfRule type="expression" priority="5" aboveAverage="0" equalAverage="0" bottom="0" percent="0" rank="0" text="" dxfId="9">
      <formula>ISNUMBER(SEARCH("on_track",E5))</formula>
    </cfRule>
    <cfRule type="expression" priority="6" aboveAverage="0" equalAverage="0" bottom="0" percent="0" rank="0" text="" dxfId="9">
      <formula>ISNUMBER(SEARCH("Approved",E5))</formula>
    </cfRule>
    <cfRule type="expression" priority="7" aboveAverage="0" equalAverage="0" bottom="0" percent="0" rank="0" text="" dxfId="9">
      <formula>ISNUMBER(SEARCH("approved",E5))</formula>
    </cfRule>
    <cfRule type="expression" priority="8" aboveAverage="0" equalAverage="0" bottom="0" percent="0" rank="0" text="" dxfId="9">
      <formula>ISNUMBER(SEARCH("Resolved",E5))</formula>
    </cfRule>
    <cfRule type="expression" priority="9" aboveAverage="0" equalAverage="0" bottom="0" percent="0" rank="0" text="" dxfId="9">
      <formula>ISNUMBER(SEARCH("resolved",E5))</formula>
    </cfRule>
    <cfRule type="expression" priority="10" aboveAverage="0" equalAverage="0" bottom="0" percent="0" rank="0" text="" dxfId="10">
      <formula>ISNUMBER(SEARCH("In Progress",E5))</formula>
    </cfRule>
    <cfRule type="expression" priority="11" aboveAverage="0" equalAverage="0" bottom="0" percent="0" rank="0" text="" dxfId="10">
      <formula>ISNUMBER(SEARCH("in_progress",E5))</formula>
    </cfRule>
    <cfRule type="expression" priority="12" aboveAverage="0" equalAverage="0" bottom="0" percent="0" rank="0" text="" dxfId="10">
      <formula>ISNUMBER(SEARCH("Monitoring",E5))</formula>
    </cfRule>
    <cfRule type="expression" priority="13" aboveAverage="0" equalAverage="0" bottom="0" percent="0" rank="0" text="" dxfId="10">
      <formula>ISNUMBER(SEARCH("monitoring",E5))</formula>
    </cfRule>
    <cfRule type="expression" priority="14" aboveAverage="0" equalAverage="0" bottom="0" percent="0" rank="0" text="" dxfId="11">
      <formula>ISNUMBER(SEARCH("Watch",E5))</formula>
    </cfRule>
    <cfRule type="expression" priority="15" aboveAverage="0" equalAverage="0" bottom="0" percent="0" rank="0" text="" dxfId="11">
      <formula>ISNUMBER(SEARCH("watch",E5))</formula>
    </cfRule>
    <cfRule type="expression" priority="16" aboveAverage="0" equalAverage="0" bottom="0" percent="0" rank="0" text="" dxfId="11">
      <formula>ISNUMBER(SEARCH("Medium",E5))</formula>
    </cfRule>
    <cfRule type="expression" priority="17" aboveAverage="0" equalAverage="0" bottom="0" percent="0" rank="0" text="" dxfId="11">
      <formula>ISNUMBER(SEARCH("medium",E5))</formula>
    </cfRule>
    <cfRule type="expression" priority="18" aboveAverage="0" equalAverage="0" bottom="0" percent="0" rank="0" text="" dxfId="12">
      <formula>ISNUMBER(SEARCH("At Risk",E5))</formula>
    </cfRule>
    <cfRule type="expression" priority="19" aboveAverage="0" equalAverage="0" bottom="0" percent="0" rank="0" text="" dxfId="12">
      <formula>ISNUMBER(SEARCH("at_risk",E5))</formula>
    </cfRule>
    <cfRule type="expression" priority="20" aboveAverage="0" equalAverage="0" bottom="0" percent="0" rank="0" text="" dxfId="12">
      <formula>ISNUMBER(SEARCH("High",E5))</formula>
    </cfRule>
    <cfRule type="expression" priority="21" aboveAverage="0" equalAverage="0" bottom="0" percent="0" rank="0" text="" dxfId="12">
      <formula>ISNUMBER(SEARCH("high",E5))</formula>
    </cfRule>
    <cfRule type="expression" priority="22" aboveAverage="0" equalAverage="0" bottom="0" percent="0" rank="0" text="" dxfId="12">
      <formula>ISNUMBER(SEARCH("Open",E5))</formula>
    </cfRule>
    <cfRule type="expression" priority="23" aboveAverage="0" equalAverage="0" bottom="0" percent="0" rank="0" text="" dxfId="12">
      <formula>ISNUMBER(SEARCH("open",E5))</formula>
    </cfRule>
    <cfRule type="expression" priority="24" aboveAverage="0" equalAverage="0" bottom="0" percent="0" rank="0" text="" dxfId="12">
      <formula>ISNUMBER(SEARCH("Delayed",E5))</formula>
    </cfRule>
    <cfRule type="expression" priority="25" aboveAverage="0" equalAverage="0" bottom="0" percent="0" rank="0" text="" dxfId="12">
      <formula>ISNUMBER(SEARCH("delayed",E5))</formula>
    </cfRule>
    <cfRule type="expression" priority="26" aboveAverage="0" equalAverage="0" bottom="0" percent="0" rank="0" text="" dxfId="13">
      <formula>ISNUMBER(SEARCH("Critical",E5))</formula>
    </cfRule>
    <cfRule type="expression" priority="27" aboveAverage="0" equalAverage="0" bottom="0" percent="0" rank="0" text="" dxfId="13">
      <formula>ISNUMBER(SEARCH("critical",E5))</formula>
    </cfRule>
    <cfRule type="expression" priority="28" aboveAverage="0" equalAverage="0" bottom="0" percent="0" rank="0" text="" dxfId="13">
      <formula>ISNUMBER(SEARCH("Overdue",E5))</formula>
    </cfRule>
    <cfRule type="expression" priority="29" aboveAverage="0" equalAverage="0" bottom="0" percent="0" rank="0" text="" dxfId="13">
      <formula>ISNUMBER(SEARCH("Rejected",E5))</formula>
    </cfRule>
    <cfRule type="expression" priority="30" aboveAverage="0" equalAverage="0" bottom="0" percent="0" rank="0" text="" dxfId="13">
      <formula>ISNUMBER(SEARCH("rejected",E5))</formula>
    </cfRule>
  </conditionalFormatting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0" t="s">
        <v>41</v>
      </c>
      <c r="B1" s="10"/>
      <c r="C1" s="10"/>
      <c r="D1" s="10"/>
      <c r="E1" s="10"/>
      <c r="F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</row>
    <row r="4" customFormat="false" ht="25.5" hidden="false" customHeight="true" outlineLevel="0" collapsed="false">
      <c r="A4" s="11" t="s">
        <v>42</v>
      </c>
      <c r="B4" s="11" t="s">
        <v>31</v>
      </c>
      <c r="C4" s="11" t="s">
        <v>5</v>
      </c>
      <c r="D4" s="11" t="s">
        <v>13</v>
      </c>
      <c r="E4" s="11" t="s">
        <v>32</v>
      </c>
      <c r="F4" s="11" t="s">
        <v>15</v>
      </c>
    </row>
    <row r="5" customFormat="false" ht="15" hidden="false" customHeight="false" outlineLevel="0" collapsed="false">
      <c r="A5" s="5" t="s">
        <v>43</v>
      </c>
      <c r="B5" s="5" t="s">
        <v>33</v>
      </c>
      <c r="C5" s="12" t="s">
        <v>34</v>
      </c>
      <c r="D5" s="12" t="s">
        <v>35</v>
      </c>
      <c r="E5" s="13" t="n">
        <v>1</v>
      </c>
      <c r="F5" s="12" t="s">
        <v>36</v>
      </c>
    </row>
    <row r="6" customFormat="false" ht="15" hidden="false" customHeight="false" outlineLevel="0" collapsed="false">
      <c r="A6" s="14" t="s">
        <v>44</v>
      </c>
      <c r="B6" s="14" t="s">
        <v>37</v>
      </c>
      <c r="C6" s="15" t="s">
        <v>34</v>
      </c>
      <c r="D6" s="15" t="s">
        <v>38</v>
      </c>
      <c r="E6" s="16" t="n">
        <v>0.75</v>
      </c>
      <c r="F6" s="15" t="s">
        <v>39</v>
      </c>
    </row>
    <row r="7" customFormat="false" ht="15" hidden="false" customHeight="false" outlineLevel="0" collapsed="false">
      <c r="A7" s="5" t="s">
        <v>45</v>
      </c>
      <c r="B7" s="5" t="s">
        <v>40</v>
      </c>
      <c r="C7" s="12" t="s">
        <v>34</v>
      </c>
      <c r="D7" s="12" t="s">
        <v>14</v>
      </c>
      <c r="E7" s="13" t="n">
        <v>0.3</v>
      </c>
      <c r="F7" s="12" t="s">
        <v>39</v>
      </c>
    </row>
  </sheetData>
  <autoFilter ref="A4:F7"/>
  <mergeCells count="2">
    <mergeCell ref="A1:F1"/>
    <mergeCell ref="A2:F2"/>
  </mergeCells>
  <conditionalFormatting sqref="F5:F7">
    <cfRule type="expression" priority="2" aboveAverage="0" equalAverage="0" bottom="0" percent="0" rank="0" text="" dxfId="9">
      <formula>ISNUMBER(SEARCH("Done",F5))</formula>
    </cfRule>
    <cfRule type="expression" priority="3" aboveAverage="0" equalAverage="0" bottom="0" percent="0" rank="0" text="" dxfId="9">
      <formula>ISNUMBER(SEARCH("done",F5))</formula>
    </cfRule>
    <cfRule type="expression" priority="4" aboveAverage="0" equalAverage="0" bottom="0" percent="0" rank="0" text="" dxfId="9">
      <formula>ISNUMBER(SEARCH("On Track",F5))</formula>
    </cfRule>
    <cfRule type="expression" priority="5" aboveAverage="0" equalAverage="0" bottom="0" percent="0" rank="0" text="" dxfId="9">
      <formula>ISNUMBER(SEARCH("on_track",F5))</formula>
    </cfRule>
    <cfRule type="expression" priority="6" aboveAverage="0" equalAverage="0" bottom="0" percent="0" rank="0" text="" dxfId="9">
      <formula>ISNUMBER(SEARCH("Approved",F5))</formula>
    </cfRule>
    <cfRule type="expression" priority="7" aboveAverage="0" equalAverage="0" bottom="0" percent="0" rank="0" text="" dxfId="9">
      <formula>ISNUMBER(SEARCH("approved",F5))</formula>
    </cfRule>
    <cfRule type="expression" priority="8" aboveAverage="0" equalAverage="0" bottom="0" percent="0" rank="0" text="" dxfId="9">
      <formula>ISNUMBER(SEARCH("Resolved",F5))</formula>
    </cfRule>
    <cfRule type="expression" priority="9" aboveAverage="0" equalAverage="0" bottom="0" percent="0" rank="0" text="" dxfId="9">
      <formula>ISNUMBER(SEARCH("resolved",F5))</formula>
    </cfRule>
    <cfRule type="expression" priority="10" aboveAverage="0" equalAverage="0" bottom="0" percent="0" rank="0" text="" dxfId="10">
      <formula>ISNUMBER(SEARCH("In Progress",F5))</formula>
    </cfRule>
    <cfRule type="expression" priority="11" aboveAverage="0" equalAverage="0" bottom="0" percent="0" rank="0" text="" dxfId="10">
      <formula>ISNUMBER(SEARCH("in_progress",F5))</formula>
    </cfRule>
    <cfRule type="expression" priority="12" aboveAverage="0" equalAverage="0" bottom="0" percent="0" rank="0" text="" dxfId="10">
      <formula>ISNUMBER(SEARCH("Monitoring",F5))</formula>
    </cfRule>
    <cfRule type="expression" priority="13" aboveAverage="0" equalAverage="0" bottom="0" percent="0" rank="0" text="" dxfId="10">
      <formula>ISNUMBER(SEARCH("monitoring",F5))</formula>
    </cfRule>
    <cfRule type="expression" priority="14" aboveAverage="0" equalAverage="0" bottom="0" percent="0" rank="0" text="" dxfId="11">
      <formula>ISNUMBER(SEARCH("Watch",F5))</formula>
    </cfRule>
    <cfRule type="expression" priority="15" aboveAverage="0" equalAverage="0" bottom="0" percent="0" rank="0" text="" dxfId="11">
      <formula>ISNUMBER(SEARCH("watch",F5))</formula>
    </cfRule>
    <cfRule type="expression" priority="16" aboveAverage="0" equalAverage="0" bottom="0" percent="0" rank="0" text="" dxfId="11">
      <formula>ISNUMBER(SEARCH("Medium",F5))</formula>
    </cfRule>
    <cfRule type="expression" priority="17" aboveAverage="0" equalAverage="0" bottom="0" percent="0" rank="0" text="" dxfId="11">
      <formula>ISNUMBER(SEARCH("medium",F5))</formula>
    </cfRule>
    <cfRule type="expression" priority="18" aboveAverage="0" equalAverage="0" bottom="0" percent="0" rank="0" text="" dxfId="12">
      <formula>ISNUMBER(SEARCH("At Risk",F5))</formula>
    </cfRule>
    <cfRule type="expression" priority="19" aboveAverage="0" equalAverage="0" bottom="0" percent="0" rank="0" text="" dxfId="12">
      <formula>ISNUMBER(SEARCH("at_risk",F5))</formula>
    </cfRule>
    <cfRule type="expression" priority="20" aboveAverage="0" equalAverage="0" bottom="0" percent="0" rank="0" text="" dxfId="12">
      <formula>ISNUMBER(SEARCH("High",F5))</formula>
    </cfRule>
    <cfRule type="expression" priority="21" aboveAverage="0" equalAverage="0" bottom="0" percent="0" rank="0" text="" dxfId="12">
      <formula>ISNUMBER(SEARCH("high",F5))</formula>
    </cfRule>
    <cfRule type="expression" priority="22" aboveAverage="0" equalAverage="0" bottom="0" percent="0" rank="0" text="" dxfId="12">
      <formula>ISNUMBER(SEARCH("Open",F5))</formula>
    </cfRule>
    <cfRule type="expression" priority="23" aboveAverage="0" equalAverage="0" bottom="0" percent="0" rank="0" text="" dxfId="12">
      <formula>ISNUMBER(SEARCH("open",F5))</formula>
    </cfRule>
    <cfRule type="expression" priority="24" aboveAverage="0" equalAverage="0" bottom="0" percent="0" rank="0" text="" dxfId="12">
      <formula>ISNUMBER(SEARCH("Delayed",F5))</formula>
    </cfRule>
    <cfRule type="expression" priority="25" aboveAverage="0" equalAverage="0" bottom="0" percent="0" rank="0" text="" dxfId="12">
      <formula>ISNUMBER(SEARCH("delayed",F5))</formula>
    </cfRule>
    <cfRule type="expression" priority="26" aboveAverage="0" equalAverage="0" bottom="0" percent="0" rank="0" text="" dxfId="13">
      <formula>ISNUMBER(SEARCH("Critical",F5))</formula>
    </cfRule>
    <cfRule type="expression" priority="27" aboveAverage="0" equalAverage="0" bottom="0" percent="0" rank="0" text="" dxfId="13">
      <formula>ISNUMBER(SEARCH("critical",F5))</formula>
    </cfRule>
    <cfRule type="expression" priority="28" aboveAverage="0" equalAverage="0" bottom="0" percent="0" rank="0" text="" dxfId="13">
      <formula>ISNUMBER(SEARCH("Overdue",F5))</formula>
    </cfRule>
    <cfRule type="expression" priority="29" aboveAverage="0" equalAverage="0" bottom="0" percent="0" rank="0" text="" dxfId="13">
      <formula>ISNUMBER(SEARCH("Rejected",F5))</formula>
    </cfRule>
    <cfRule type="expression" priority="30" aboveAverage="0" equalAverage="0" bottom="0" percent="0" rank="0" text="" dxfId="13">
      <formula>ISNUMBER(SEARCH("rejected",F5))</formula>
    </cfRule>
  </conditionalFormatting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9" min="8" style="0" width="26"/>
  </cols>
  <sheetData>
    <row r="1" customFormat="false" ht="17.35" hidden="false" customHeight="false" outlineLevel="0" collapsed="false">
      <c r="A1" s="10" t="s">
        <v>46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</row>
    <row r="4" customFormat="false" ht="25.5" hidden="false" customHeight="true" outlineLevel="0" collapsed="false">
      <c r="A4" s="11" t="s">
        <v>47</v>
      </c>
      <c r="B4" s="11" t="s">
        <v>48</v>
      </c>
      <c r="C4" s="11" t="s">
        <v>49</v>
      </c>
      <c r="D4" s="11" t="s">
        <v>15</v>
      </c>
      <c r="E4" s="11" t="s">
        <v>32</v>
      </c>
      <c r="F4" s="11" t="s">
        <v>21</v>
      </c>
      <c r="G4" s="11" t="s">
        <v>50</v>
      </c>
      <c r="H4" s="11" t="s">
        <v>51</v>
      </c>
      <c r="I4" s="11" t="s">
        <v>52</v>
      </c>
    </row>
    <row r="5" customFormat="false" ht="15" hidden="false" customHeight="false" outlineLevel="0" collapsed="false">
      <c r="A5" s="12" t="s">
        <v>53</v>
      </c>
      <c r="B5" s="5" t="s">
        <v>54</v>
      </c>
      <c r="C5" s="12" t="s">
        <v>34</v>
      </c>
      <c r="D5" s="12" t="s">
        <v>36</v>
      </c>
      <c r="E5" s="13" t="n">
        <v>1</v>
      </c>
      <c r="F5" s="12" t="s">
        <v>55</v>
      </c>
      <c r="G5" s="12" t="s">
        <v>56</v>
      </c>
      <c r="H5" s="5"/>
      <c r="I5" s="5"/>
    </row>
    <row r="6" customFormat="false" ht="15" hidden="false" customHeight="false" outlineLevel="0" collapsed="false">
      <c r="A6" s="15" t="s">
        <v>57</v>
      </c>
      <c r="B6" s="14" t="s">
        <v>58</v>
      </c>
      <c r="C6" s="15" t="s">
        <v>34</v>
      </c>
      <c r="D6" s="15" t="s">
        <v>36</v>
      </c>
      <c r="E6" s="16" t="n">
        <v>1</v>
      </c>
      <c r="F6" s="15" t="s">
        <v>55</v>
      </c>
      <c r="G6" s="15" t="s">
        <v>59</v>
      </c>
      <c r="H6" s="14"/>
      <c r="I6" s="14"/>
    </row>
    <row r="7" customFormat="false" ht="15" hidden="false" customHeight="false" outlineLevel="0" collapsed="false">
      <c r="A7" s="12" t="s">
        <v>60</v>
      </c>
      <c r="B7" s="5" t="s">
        <v>61</v>
      </c>
      <c r="C7" s="12" t="s">
        <v>34</v>
      </c>
      <c r="D7" s="12" t="s">
        <v>36</v>
      </c>
      <c r="E7" s="13" t="n">
        <v>1</v>
      </c>
      <c r="F7" s="12" t="s">
        <v>55</v>
      </c>
      <c r="G7" s="12" t="s">
        <v>62</v>
      </c>
      <c r="H7" s="5"/>
      <c r="I7" s="5"/>
    </row>
    <row r="8" customFormat="false" ht="15" hidden="false" customHeight="false" outlineLevel="0" collapsed="false">
      <c r="A8" s="15" t="s">
        <v>63</v>
      </c>
      <c r="B8" s="14" t="s">
        <v>64</v>
      </c>
      <c r="C8" s="15" t="s">
        <v>34</v>
      </c>
      <c r="D8" s="15" t="s">
        <v>36</v>
      </c>
      <c r="E8" s="16" t="n">
        <v>1</v>
      </c>
      <c r="F8" s="15" t="s">
        <v>55</v>
      </c>
      <c r="G8" s="15" t="s">
        <v>65</v>
      </c>
      <c r="H8" s="14"/>
      <c r="I8" s="14"/>
    </row>
    <row r="9" customFormat="false" ht="15" hidden="false" customHeight="false" outlineLevel="0" collapsed="false">
      <c r="A9" s="12" t="s">
        <v>66</v>
      </c>
      <c r="B9" s="5" t="s">
        <v>67</v>
      </c>
      <c r="C9" s="12" t="s">
        <v>34</v>
      </c>
      <c r="D9" s="12" t="s">
        <v>39</v>
      </c>
      <c r="E9" s="13" t="n">
        <v>0.5</v>
      </c>
      <c r="F9" s="12" t="s">
        <v>68</v>
      </c>
      <c r="G9" s="12" t="s">
        <v>69</v>
      </c>
      <c r="H9" s="5"/>
      <c r="I9" s="5" t="s">
        <v>70</v>
      </c>
    </row>
    <row r="10" customFormat="false" ht="15" hidden="false" customHeight="false" outlineLevel="0" collapsed="false">
      <c r="A10" s="15" t="s">
        <v>71</v>
      </c>
      <c r="B10" s="14" t="s">
        <v>72</v>
      </c>
      <c r="C10" s="15" t="s">
        <v>34</v>
      </c>
      <c r="D10" s="15" t="s">
        <v>39</v>
      </c>
      <c r="E10" s="16" t="n">
        <v>0.4</v>
      </c>
      <c r="F10" s="15" t="s">
        <v>25</v>
      </c>
      <c r="G10" s="15" t="s">
        <v>69</v>
      </c>
      <c r="H10" s="14"/>
      <c r="I10" s="14" t="s">
        <v>73</v>
      </c>
    </row>
    <row r="11" customFormat="false" ht="15" hidden="false" customHeight="false" outlineLevel="0" collapsed="false">
      <c r="A11" s="12" t="s">
        <v>74</v>
      </c>
      <c r="B11" s="5" t="s">
        <v>75</v>
      </c>
      <c r="C11" s="12" t="s">
        <v>34</v>
      </c>
      <c r="D11" s="12" t="s">
        <v>39</v>
      </c>
      <c r="E11" s="13" t="n">
        <v>0.3</v>
      </c>
      <c r="F11" s="12" t="s">
        <v>25</v>
      </c>
      <c r="G11" s="12" t="s">
        <v>69</v>
      </c>
      <c r="H11" s="5" t="s">
        <v>76</v>
      </c>
      <c r="I11" s="5" t="s">
        <v>77</v>
      </c>
    </row>
    <row r="12" customFormat="false" ht="15" hidden="false" customHeight="false" outlineLevel="0" collapsed="false">
      <c r="A12" s="15" t="s">
        <v>78</v>
      </c>
      <c r="B12" s="14" t="s">
        <v>79</v>
      </c>
      <c r="C12" s="15" t="s">
        <v>34</v>
      </c>
      <c r="D12" s="15" t="s">
        <v>39</v>
      </c>
      <c r="E12" s="16" t="n">
        <v>0.2</v>
      </c>
      <c r="F12" s="15" t="s">
        <v>25</v>
      </c>
      <c r="G12" s="15" t="s">
        <v>69</v>
      </c>
      <c r="H12" s="14"/>
      <c r="I12" s="14" t="s">
        <v>80</v>
      </c>
    </row>
  </sheetData>
  <autoFilter ref="A4:I12"/>
  <mergeCells count="2">
    <mergeCell ref="A1:I1"/>
    <mergeCell ref="A2:I2"/>
  </mergeCells>
  <conditionalFormatting sqref="D5:D12">
    <cfRule type="expression" priority="2" aboveAverage="0" equalAverage="0" bottom="0" percent="0" rank="0" text="" dxfId="9">
      <formula>ISNUMBER(SEARCH("Done",D5))</formula>
    </cfRule>
    <cfRule type="expression" priority="3" aboveAverage="0" equalAverage="0" bottom="0" percent="0" rank="0" text="" dxfId="9">
      <formula>ISNUMBER(SEARCH("done",D5))</formula>
    </cfRule>
    <cfRule type="expression" priority="4" aboveAverage="0" equalAverage="0" bottom="0" percent="0" rank="0" text="" dxfId="9">
      <formula>ISNUMBER(SEARCH("On Track",D5))</formula>
    </cfRule>
    <cfRule type="expression" priority="5" aboveAverage="0" equalAverage="0" bottom="0" percent="0" rank="0" text="" dxfId="9">
      <formula>ISNUMBER(SEARCH("on_track",D5))</formula>
    </cfRule>
    <cfRule type="expression" priority="6" aboveAverage="0" equalAverage="0" bottom="0" percent="0" rank="0" text="" dxfId="9">
      <formula>ISNUMBER(SEARCH("Approved",D5))</formula>
    </cfRule>
    <cfRule type="expression" priority="7" aboveAverage="0" equalAverage="0" bottom="0" percent="0" rank="0" text="" dxfId="9">
      <formula>ISNUMBER(SEARCH("approved",D5))</formula>
    </cfRule>
    <cfRule type="expression" priority="8" aboveAverage="0" equalAverage="0" bottom="0" percent="0" rank="0" text="" dxfId="9">
      <formula>ISNUMBER(SEARCH("Resolved",D5))</formula>
    </cfRule>
    <cfRule type="expression" priority="9" aboveAverage="0" equalAverage="0" bottom="0" percent="0" rank="0" text="" dxfId="9">
      <formula>ISNUMBER(SEARCH("resolved",D5))</formula>
    </cfRule>
    <cfRule type="expression" priority="10" aboveAverage="0" equalAverage="0" bottom="0" percent="0" rank="0" text="" dxfId="10">
      <formula>ISNUMBER(SEARCH("In Progress",D5))</formula>
    </cfRule>
    <cfRule type="expression" priority="11" aboveAverage="0" equalAverage="0" bottom="0" percent="0" rank="0" text="" dxfId="10">
      <formula>ISNUMBER(SEARCH("in_progress",D5))</formula>
    </cfRule>
    <cfRule type="expression" priority="12" aboveAverage="0" equalAverage="0" bottom="0" percent="0" rank="0" text="" dxfId="10">
      <formula>ISNUMBER(SEARCH("Monitoring",D5))</formula>
    </cfRule>
    <cfRule type="expression" priority="13" aboveAverage="0" equalAverage="0" bottom="0" percent="0" rank="0" text="" dxfId="10">
      <formula>ISNUMBER(SEARCH("monitoring",D5))</formula>
    </cfRule>
    <cfRule type="expression" priority="14" aboveAverage="0" equalAverage="0" bottom="0" percent="0" rank="0" text="" dxfId="11">
      <formula>ISNUMBER(SEARCH("Watch",D5))</formula>
    </cfRule>
    <cfRule type="expression" priority="15" aboveAverage="0" equalAverage="0" bottom="0" percent="0" rank="0" text="" dxfId="11">
      <formula>ISNUMBER(SEARCH("watch",D5))</formula>
    </cfRule>
    <cfRule type="expression" priority="16" aboveAverage="0" equalAverage="0" bottom="0" percent="0" rank="0" text="" dxfId="11">
      <formula>ISNUMBER(SEARCH("Medium",D5))</formula>
    </cfRule>
    <cfRule type="expression" priority="17" aboveAverage="0" equalAverage="0" bottom="0" percent="0" rank="0" text="" dxfId="11">
      <formula>ISNUMBER(SEARCH("medium",D5))</formula>
    </cfRule>
    <cfRule type="expression" priority="18" aboveAverage="0" equalAverage="0" bottom="0" percent="0" rank="0" text="" dxfId="12">
      <formula>ISNUMBER(SEARCH("At Risk",D5))</formula>
    </cfRule>
    <cfRule type="expression" priority="19" aboveAverage="0" equalAverage="0" bottom="0" percent="0" rank="0" text="" dxfId="12">
      <formula>ISNUMBER(SEARCH("at_risk",D5))</formula>
    </cfRule>
    <cfRule type="expression" priority="20" aboveAverage="0" equalAverage="0" bottom="0" percent="0" rank="0" text="" dxfId="12">
      <formula>ISNUMBER(SEARCH("High",D5))</formula>
    </cfRule>
    <cfRule type="expression" priority="21" aboveAverage="0" equalAverage="0" bottom="0" percent="0" rank="0" text="" dxfId="12">
      <formula>ISNUMBER(SEARCH("high",D5))</formula>
    </cfRule>
    <cfRule type="expression" priority="22" aboveAverage="0" equalAverage="0" bottom="0" percent="0" rank="0" text="" dxfId="12">
      <formula>ISNUMBER(SEARCH("Open",D5))</formula>
    </cfRule>
    <cfRule type="expression" priority="23" aboveAverage="0" equalAverage="0" bottom="0" percent="0" rank="0" text="" dxfId="12">
      <formula>ISNUMBER(SEARCH("open",D5))</formula>
    </cfRule>
    <cfRule type="expression" priority="24" aboveAverage="0" equalAverage="0" bottom="0" percent="0" rank="0" text="" dxfId="12">
      <formula>ISNUMBER(SEARCH("Delayed",D5))</formula>
    </cfRule>
    <cfRule type="expression" priority="25" aboveAverage="0" equalAverage="0" bottom="0" percent="0" rank="0" text="" dxfId="12">
      <formula>ISNUMBER(SEARCH("delayed",D5))</formula>
    </cfRule>
    <cfRule type="expression" priority="26" aboveAverage="0" equalAverage="0" bottom="0" percent="0" rank="0" text="" dxfId="13">
      <formula>ISNUMBER(SEARCH("Critical",D5))</formula>
    </cfRule>
    <cfRule type="expression" priority="27" aboveAverage="0" equalAverage="0" bottom="0" percent="0" rank="0" text="" dxfId="13">
      <formula>ISNUMBER(SEARCH("critical",D5))</formula>
    </cfRule>
    <cfRule type="expression" priority="28" aboveAverage="0" equalAverage="0" bottom="0" percent="0" rank="0" text="" dxfId="13">
      <formula>ISNUMBER(SEARCH("Overdue",D5))</formula>
    </cfRule>
    <cfRule type="expression" priority="29" aboveAverage="0" equalAverage="0" bottom="0" percent="0" rank="0" text="" dxfId="13">
      <formula>ISNUMBER(SEARCH("Rejected",D5))</formula>
    </cfRule>
    <cfRule type="expression" priority="30" aboveAverage="0" equalAverage="0" bottom="0" percent="0" rank="0" text="" dxfId="13">
      <formula>ISNUMBER(SEARCH("rejected",D5))</formula>
    </cfRule>
  </conditionalFormatting>
  <conditionalFormatting sqref="F5:F12">
    <cfRule type="expression" priority="31" aboveAverage="0" equalAverage="0" bottom="0" percent="0" rank="0" text="" dxfId="9">
      <formula>ISNUMBER(SEARCH("Done",F5))</formula>
    </cfRule>
    <cfRule type="expression" priority="32" aboveAverage="0" equalAverage="0" bottom="0" percent="0" rank="0" text="" dxfId="9">
      <formula>ISNUMBER(SEARCH("done",F5))</formula>
    </cfRule>
    <cfRule type="expression" priority="33" aboveAverage="0" equalAverage="0" bottom="0" percent="0" rank="0" text="" dxfId="9">
      <formula>ISNUMBER(SEARCH("On Track",F5))</formula>
    </cfRule>
    <cfRule type="expression" priority="34" aboveAverage="0" equalAverage="0" bottom="0" percent="0" rank="0" text="" dxfId="9">
      <formula>ISNUMBER(SEARCH("on_track",F5))</formula>
    </cfRule>
    <cfRule type="expression" priority="35" aboveAverage="0" equalAverage="0" bottom="0" percent="0" rank="0" text="" dxfId="9">
      <formula>ISNUMBER(SEARCH("Approved",F5))</formula>
    </cfRule>
    <cfRule type="expression" priority="36" aboveAverage="0" equalAverage="0" bottom="0" percent="0" rank="0" text="" dxfId="9">
      <formula>ISNUMBER(SEARCH("approved",F5))</formula>
    </cfRule>
    <cfRule type="expression" priority="37" aboveAverage="0" equalAverage="0" bottom="0" percent="0" rank="0" text="" dxfId="9">
      <formula>ISNUMBER(SEARCH("Resolved",F5))</formula>
    </cfRule>
    <cfRule type="expression" priority="38" aboveAverage="0" equalAverage="0" bottom="0" percent="0" rank="0" text="" dxfId="9">
      <formula>ISNUMBER(SEARCH("resolved",F5))</formula>
    </cfRule>
    <cfRule type="expression" priority="39" aboveAverage="0" equalAverage="0" bottom="0" percent="0" rank="0" text="" dxfId="10">
      <formula>ISNUMBER(SEARCH("In Progress",F5))</formula>
    </cfRule>
    <cfRule type="expression" priority="40" aboveAverage="0" equalAverage="0" bottom="0" percent="0" rank="0" text="" dxfId="10">
      <formula>ISNUMBER(SEARCH("in_progress",F5))</formula>
    </cfRule>
    <cfRule type="expression" priority="41" aboveAverage="0" equalAverage="0" bottom="0" percent="0" rank="0" text="" dxfId="10">
      <formula>ISNUMBER(SEARCH("Monitoring",F5))</formula>
    </cfRule>
    <cfRule type="expression" priority="42" aboveAverage="0" equalAverage="0" bottom="0" percent="0" rank="0" text="" dxfId="10">
      <formula>ISNUMBER(SEARCH("monitoring",F5))</formula>
    </cfRule>
    <cfRule type="expression" priority="43" aboveAverage="0" equalAverage="0" bottom="0" percent="0" rank="0" text="" dxfId="11">
      <formula>ISNUMBER(SEARCH("Watch",F5))</formula>
    </cfRule>
    <cfRule type="expression" priority="44" aboveAverage="0" equalAverage="0" bottom="0" percent="0" rank="0" text="" dxfId="11">
      <formula>ISNUMBER(SEARCH("watch",F5))</formula>
    </cfRule>
    <cfRule type="expression" priority="45" aboveAverage="0" equalAverage="0" bottom="0" percent="0" rank="0" text="" dxfId="11">
      <formula>ISNUMBER(SEARCH("Medium",F5))</formula>
    </cfRule>
    <cfRule type="expression" priority="46" aboveAverage="0" equalAverage="0" bottom="0" percent="0" rank="0" text="" dxfId="11">
      <formula>ISNUMBER(SEARCH("medium",F5))</formula>
    </cfRule>
    <cfRule type="expression" priority="47" aboveAverage="0" equalAverage="0" bottom="0" percent="0" rank="0" text="" dxfId="12">
      <formula>ISNUMBER(SEARCH("At Risk",F5))</formula>
    </cfRule>
    <cfRule type="expression" priority="48" aboveAverage="0" equalAverage="0" bottom="0" percent="0" rank="0" text="" dxfId="12">
      <formula>ISNUMBER(SEARCH("at_risk",F5))</formula>
    </cfRule>
    <cfRule type="expression" priority="49" aboveAverage="0" equalAverage="0" bottom="0" percent="0" rank="0" text="" dxfId="12">
      <formula>ISNUMBER(SEARCH("High",F5))</formula>
    </cfRule>
    <cfRule type="expression" priority="50" aboveAverage="0" equalAverage="0" bottom="0" percent="0" rank="0" text="" dxfId="12">
      <formula>ISNUMBER(SEARCH("high",F5))</formula>
    </cfRule>
    <cfRule type="expression" priority="51" aboveAverage="0" equalAverage="0" bottom="0" percent="0" rank="0" text="" dxfId="12">
      <formula>ISNUMBER(SEARCH("Open",F5))</formula>
    </cfRule>
    <cfRule type="expression" priority="52" aboveAverage="0" equalAverage="0" bottom="0" percent="0" rank="0" text="" dxfId="12">
      <formula>ISNUMBER(SEARCH("open",F5))</formula>
    </cfRule>
    <cfRule type="expression" priority="53" aboveAverage="0" equalAverage="0" bottom="0" percent="0" rank="0" text="" dxfId="12">
      <formula>ISNUMBER(SEARCH("Delayed",F5))</formula>
    </cfRule>
    <cfRule type="expression" priority="54" aboveAverage="0" equalAverage="0" bottom="0" percent="0" rank="0" text="" dxfId="12">
      <formula>ISNUMBER(SEARCH("delayed",F5))</formula>
    </cfRule>
    <cfRule type="expression" priority="55" aboveAverage="0" equalAverage="0" bottom="0" percent="0" rank="0" text="" dxfId="13">
      <formula>ISNUMBER(SEARCH("Critical",F5))</formula>
    </cfRule>
    <cfRule type="expression" priority="56" aboveAverage="0" equalAverage="0" bottom="0" percent="0" rank="0" text="" dxfId="13">
      <formula>ISNUMBER(SEARCH("critical",F5))</formula>
    </cfRule>
    <cfRule type="expression" priority="57" aboveAverage="0" equalAverage="0" bottom="0" percent="0" rank="0" text="" dxfId="13">
      <formula>ISNUMBER(SEARCH("Overdue",F5))</formula>
    </cfRule>
    <cfRule type="expression" priority="58" aboveAverage="0" equalAverage="0" bottom="0" percent="0" rank="0" text="" dxfId="13">
      <formula>ISNUMBER(SEARCH("Rejected",F5))</formula>
    </cfRule>
    <cfRule type="expression" priority="59" aboveAverage="0" equalAverage="0" bottom="0" percent="0" rank="0" text="" dxfId="13">
      <formula>ISNUMBER(SEARCH("rejected",F5))</formula>
    </cfRule>
  </conditionalFormatting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0" t="s">
        <v>81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</row>
    <row r="4" customFormat="false" ht="25.5" hidden="false" customHeight="true" outlineLevel="0" collapsed="false">
      <c r="A4" s="11" t="s">
        <v>82</v>
      </c>
      <c r="B4" s="11" t="s">
        <v>83</v>
      </c>
      <c r="C4" s="11" t="s">
        <v>84</v>
      </c>
      <c r="D4" s="11" t="s">
        <v>85</v>
      </c>
      <c r="E4" s="11" t="s">
        <v>86</v>
      </c>
      <c r="F4" s="11" t="s">
        <v>5</v>
      </c>
      <c r="G4" s="11" t="s">
        <v>15</v>
      </c>
      <c r="H4" s="11" t="s">
        <v>13</v>
      </c>
      <c r="I4" s="11" t="s">
        <v>52</v>
      </c>
    </row>
    <row r="5" customFormat="false" ht="23.85" hidden="false" customHeight="false" outlineLevel="0" collapsed="false">
      <c r="A5" s="12" t="s">
        <v>87</v>
      </c>
      <c r="B5" s="5" t="s">
        <v>88</v>
      </c>
      <c r="C5" s="12" t="s">
        <v>18</v>
      </c>
      <c r="D5" s="5" t="s">
        <v>89</v>
      </c>
      <c r="E5" s="12"/>
      <c r="F5" s="12" t="s">
        <v>34</v>
      </c>
      <c r="G5" s="12" t="s">
        <v>90</v>
      </c>
      <c r="H5" s="12" t="s">
        <v>91</v>
      </c>
      <c r="I5" s="5" t="s">
        <v>92</v>
      </c>
    </row>
    <row r="6" customFormat="false" ht="15" hidden="false" customHeight="false" outlineLevel="0" collapsed="false">
      <c r="A6" s="15" t="s">
        <v>87</v>
      </c>
      <c r="B6" s="14" t="s">
        <v>93</v>
      </c>
      <c r="C6" s="15" t="s">
        <v>94</v>
      </c>
      <c r="D6" s="14" t="s">
        <v>95</v>
      </c>
      <c r="E6" s="15"/>
      <c r="F6" s="15" t="s">
        <v>34</v>
      </c>
      <c r="G6" s="15" t="s">
        <v>90</v>
      </c>
      <c r="H6" s="15" t="s">
        <v>96</v>
      </c>
      <c r="I6" s="14" t="s">
        <v>97</v>
      </c>
    </row>
    <row r="7" customFormat="false" ht="15" hidden="false" customHeight="false" outlineLevel="0" collapsed="false">
      <c r="A7" s="12" t="s">
        <v>98</v>
      </c>
      <c r="B7" s="5" t="s">
        <v>99</v>
      </c>
      <c r="C7" s="12" t="s">
        <v>18</v>
      </c>
      <c r="D7" s="5" t="s">
        <v>100</v>
      </c>
      <c r="E7" s="12" t="s">
        <v>18</v>
      </c>
      <c r="F7" s="12" t="s">
        <v>34</v>
      </c>
      <c r="G7" s="12" t="s">
        <v>101</v>
      </c>
      <c r="H7" s="12" t="s">
        <v>69</v>
      </c>
      <c r="I7" s="5" t="s">
        <v>102</v>
      </c>
    </row>
  </sheetData>
  <autoFilter ref="A4:I7"/>
  <mergeCells count="2">
    <mergeCell ref="A1:I1"/>
    <mergeCell ref="A2:I2"/>
  </mergeCells>
  <conditionalFormatting sqref="C5:C7">
    <cfRule type="expression" priority="2" aboveAverage="0" equalAverage="0" bottom="0" percent="0" rank="0" text="" dxfId="9">
      <formula>ISNUMBER(SEARCH("Done",C5))</formula>
    </cfRule>
    <cfRule type="expression" priority="3" aboveAverage="0" equalAverage="0" bottom="0" percent="0" rank="0" text="" dxfId="9">
      <formula>ISNUMBER(SEARCH("done",C5))</formula>
    </cfRule>
    <cfRule type="expression" priority="4" aboveAverage="0" equalAverage="0" bottom="0" percent="0" rank="0" text="" dxfId="9">
      <formula>ISNUMBER(SEARCH("On Track",C5))</formula>
    </cfRule>
    <cfRule type="expression" priority="5" aboveAverage="0" equalAverage="0" bottom="0" percent="0" rank="0" text="" dxfId="9">
      <formula>ISNUMBER(SEARCH("on_track",C5))</formula>
    </cfRule>
    <cfRule type="expression" priority="6" aboveAverage="0" equalAverage="0" bottom="0" percent="0" rank="0" text="" dxfId="9">
      <formula>ISNUMBER(SEARCH("Approved",C5))</formula>
    </cfRule>
    <cfRule type="expression" priority="7" aboveAverage="0" equalAverage="0" bottom="0" percent="0" rank="0" text="" dxfId="9">
      <formula>ISNUMBER(SEARCH("approved",C5))</formula>
    </cfRule>
    <cfRule type="expression" priority="8" aboveAverage="0" equalAverage="0" bottom="0" percent="0" rank="0" text="" dxfId="9">
      <formula>ISNUMBER(SEARCH("Resolved",C5))</formula>
    </cfRule>
    <cfRule type="expression" priority="9" aboveAverage="0" equalAverage="0" bottom="0" percent="0" rank="0" text="" dxfId="9">
      <formula>ISNUMBER(SEARCH("resolved",C5))</formula>
    </cfRule>
    <cfRule type="expression" priority="10" aboveAverage="0" equalAverage="0" bottom="0" percent="0" rank="0" text="" dxfId="10">
      <formula>ISNUMBER(SEARCH("In Progress",C5))</formula>
    </cfRule>
    <cfRule type="expression" priority="11" aboveAverage="0" equalAverage="0" bottom="0" percent="0" rank="0" text="" dxfId="10">
      <formula>ISNUMBER(SEARCH("in_progress",C5))</formula>
    </cfRule>
    <cfRule type="expression" priority="12" aboveAverage="0" equalAverage="0" bottom="0" percent="0" rank="0" text="" dxfId="10">
      <formula>ISNUMBER(SEARCH("Monitoring",C5))</formula>
    </cfRule>
    <cfRule type="expression" priority="13" aboveAverage="0" equalAverage="0" bottom="0" percent="0" rank="0" text="" dxfId="10">
      <formula>ISNUMBER(SEARCH("monitoring",C5))</formula>
    </cfRule>
    <cfRule type="expression" priority="14" aboveAverage="0" equalAverage="0" bottom="0" percent="0" rank="0" text="" dxfId="11">
      <formula>ISNUMBER(SEARCH("Watch",C5))</formula>
    </cfRule>
    <cfRule type="expression" priority="15" aboveAverage="0" equalAverage="0" bottom="0" percent="0" rank="0" text="" dxfId="11">
      <formula>ISNUMBER(SEARCH("watch",C5))</formula>
    </cfRule>
    <cfRule type="expression" priority="16" aboveAverage="0" equalAverage="0" bottom="0" percent="0" rank="0" text="" dxfId="11">
      <formula>ISNUMBER(SEARCH("Medium",C5))</formula>
    </cfRule>
    <cfRule type="expression" priority="17" aboveAverage="0" equalAverage="0" bottom="0" percent="0" rank="0" text="" dxfId="11">
      <formula>ISNUMBER(SEARCH("medium",C5))</formula>
    </cfRule>
    <cfRule type="expression" priority="18" aboveAverage="0" equalAverage="0" bottom="0" percent="0" rank="0" text="" dxfId="12">
      <formula>ISNUMBER(SEARCH("At Risk",C5))</formula>
    </cfRule>
    <cfRule type="expression" priority="19" aboveAverage="0" equalAverage="0" bottom="0" percent="0" rank="0" text="" dxfId="12">
      <formula>ISNUMBER(SEARCH("at_risk",C5))</formula>
    </cfRule>
    <cfRule type="expression" priority="20" aboveAverage="0" equalAverage="0" bottom="0" percent="0" rank="0" text="" dxfId="12">
      <formula>ISNUMBER(SEARCH("High",C5))</formula>
    </cfRule>
    <cfRule type="expression" priority="21" aboveAverage="0" equalAverage="0" bottom="0" percent="0" rank="0" text="" dxfId="12">
      <formula>ISNUMBER(SEARCH("high",C5))</formula>
    </cfRule>
    <cfRule type="expression" priority="22" aboveAverage="0" equalAverage="0" bottom="0" percent="0" rank="0" text="" dxfId="12">
      <formula>ISNUMBER(SEARCH("Open",C5))</formula>
    </cfRule>
    <cfRule type="expression" priority="23" aboveAverage="0" equalAverage="0" bottom="0" percent="0" rank="0" text="" dxfId="12">
      <formula>ISNUMBER(SEARCH("open",C5))</formula>
    </cfRule>
    <cfRule type="expression" priority="24" aboveAverage="0" equalAverage="0" bottom="0" percent="0" rank="0" text="" dxfId="12">
      <formula>ISNUMBER(SEARCH("Delayed",C5))</formula>
    </cfRule>
    <cfRule type="expression" priority="25" aboveAverage="0" equalAverage="0" bottom="0" percent="0" rank="0" text="" dxfId="12">
      <formula>ISNUMBER(SEARCH("delayed",C5))</formula>
    </cfRule>
    <cfRule type="expression" priority="26" aboveAverage="0" equalAverage="0" bottom="0" percent="0" rank="0" text="" dxfId="13">
      <formula>ISNUMBER(SEARCH("Critical",C5))</formula>
    </cfRule>
    <cfRule type="expression" priority="27" aboveAverage="0" equalAverage="0" bottom="0" percent="0" rank="0" text="" dxfId="13">
      <formula>ISNUMBER(SEARCH("critical",C5))</formula>
    </cfRule>
    <cfRule type="expression" priority="28" aboveAverage="0" equalAverage="0" bottom="0" percent="0" rank="0" text="" dxfId="13">
      <formula>ISNUMBER(SEARCH("Overdue",C5))</formula>
    </cfRule>
    <cfRule type="expression" priority="29" aboveAverage="0" equalAverage="0" bottom="0" percent="0" rank="0" text="" dxfId="13">
      <formula>ISNUMBER(SEARCH("Rejected",C5))</formula>
    </cfRule>
    <cfRule type="expression" priority="30" aboveAverage="0" equalAverage="0" bottom="0" percent="0" rank="0" text="" dxfId="13">
      <formula>ISNUMBER(SEARCH("rejected",C5))</formula>
    </cfRule>
  </conditionalFormatting>
  <conditionalFormatting sqref="G5:G7">
    <cfRule type="expression" priority="31" aboveAverage="0" equalAverage="0" bottom="0" percent="0" rank="0" text="" dxfId="9">
      <formula>ISNUMBER(SEARCH("Done",G5))</formula>
    </cfRule>
    <cfRule type="expression" priority="32" aboveAverage="0" equalAverage="0" bottom="0" percent="0" rank="0" text="" dxfId="9">
      <formula>ISNUMBER(SEARCH("done",G5))</formula>
    </cfRule>
    <cfRule type="expression" priority="33" aboveAverage="0" equalAverage="0" bottom="0" percent="0" rank="0" text="" dxfId="9">
      <formula>ISNUMBER(SEARCH("On Track",G5))</formula>
    </cfRule>
    <cfRule type="expression" priority="34" aboveAverage="0" equalAverage="0" bottom="0" percent="0" rank="0" text="" dxfId="9">
      <formula>ISNUMBER(SEARCH("on_track",G5))</formula>
    </cfRule>
    <cfRule type="expression" priority="35" aboveAverage="0" equalAverage="0" bottom="0" percent="0" rank="0" text="" dxfId="9">
      <formula>ISNUMBER(SEARCH("Approved",G5))</formula>
    </cfRule>
    <cfRule type="expression" priority="36" aboveAverage="0" equalAverage="0" bottom="0" percent="0" rank="0" text="" dxfId="9">
      <formula>ISNUMBER(SEARCH("approved",G5))</formula>
    </cfRule>
    <cfRule type="expression" priority="37" aboveAverage="0" equalAverage="0" bottom="0" percent="0" rank="0" text="" dxfId="9">
      <formula>ISNUMBER(SEARCH("Resolved",G5))</formula>
    </cfRule>
    <cfRule type="expression" priority="38" aboveAverage="0" equalAverage="0" bottom="0" percent="0" rank="0" text="" dxfId="9">
      <formula>ISNUMBER(SEARCH("resolved",G5))</formula>
    </cfRule>
    <cfRule type="expression" priority="39" aboveAverage="0" equalAverage="0" bottom="0" percent="0" rank="0" text="" dxfId="10">
      <formula>ISNUMBER(SEARCH("In Progress",G5))</formula>
    </cfRule>
    <cfRule type="expression" priority="40" aboveAverage="0" equalAverage="0" bottom="0" percent="0" rank="0" text="" dxfId="10">
      <formula>ISNUMBER(SEARCH("in_progress",G5))</formula>
    </cfRule>
    <cfRule type="expression" priority="41" aboveAverage="0" equalAverage="0" bottom="0" percent="0" rank="0" text="" dxfId="10">
      <formula>ISNUMBER(SEARCH("Monitoring",G5))</formula>
    </cfRule>
    <cfRule type="expression" priority="42" aboveAverage="0" equalAverage="0" bottom="0" percent="0" rank="0" text="" dxfId="10">
      <formula>ISNUMBER(SEARCH("monitoring",G5))</formula>
    </cfRule>
    <cfRule type="expression" priority="43" aboveAverage="0" equalAverage="0" bottom="0" percent="0" rank="0" text="" dxfId="11">
      <formula>ISNUMBER(SEARCH("Watch",G5))</formula>
    </cfRule>
    <cfRule type="expression" priority="44" aboveAverage="0" equalAverage="0" bottom="0" percent="0" rank="0" text="" dxfId="11">
      <formula>ISNUMBER(SEARCH("watch",G5))</formula>
    </cfRule>
    <cfRule type="expression" priority="45" aboveAverage="0" equalAverage="0" bottom="0" percent="0" rank="0" text="" dxfId="11">
      <formula>ISNUMBER(SEARCH("Medium",G5))</formula>
    </cfRule>
    <cfRule type="expression" priority="46" aboveAverage="0" equalAverage="0" bottom="0" percent="0" rank="0" text="" dxfId="11">
      <formula>ISNUMBER(SEARCH("medium",G5))</formula>
    </cfRule>
    <cfRule type="expression" priority="47" aboveAverage="0" equalAverage="0" bottom="0" percent="0" rank="0" text="" dxfId="12">
      <formula>ISNUMBER(SEARCH("At Risk",G5))</formula>
    </cfRule>
    <cfRule type="expression" priority="48" aboveAverage="0" equalAverage="0" bottom="0" percent="0" rank="0" text="" dxfId="12">
      <formula>ISNUMBER(SEARCH("at_risk",G5))</formula>
    </cfRule>
    <cfRule type="expression" priority="49" aboveAverage="0" equalAverage="0" bottom="0" percent="0" rank="0" text="" dxfId="12">
      <formula>ISNUMBER(SEARCH("High",G5))</formula>
    </cfRule>
    <cfRule type="expression" priority="50" aboveAverage="0" equalAverage="0" bottom="0" percent="0" rank="0" text="" dxfId="12">
      <formula>ISNUMBER(SEARCH("high",G5))</formula>
    </cfRule>
    <cfRule type="expression" priority="51" aboveAverage="0" equalAverage="0" bottom="0" percent="0" rank="0" text="" dxfId="12">
      <formula>ISNUMBER(SEARCH("Open",G5))</formula>
    </cfRule>
    <cfRule type="expression" priority="52" aboveAverage="0" equalAverage="0" bottom="0" percent="0" rank="0" text="" dxfId="12">
      <formula>ISNUMBER(SEARCH("open",G5))</formula>
    </cfRule>
    <cfRule type="expression" priority="53" aboveAverage="0" equalAverage="0" bottom="0" percent="0" rank="0" text="" dxfId="12">
      <formula>ISNUMBER(SEARCH("Delayed",G5))</formula>
    </cfRule>
    <cfRule type="expression" priority="54" aboveAverage="0" equalAverage="0" bottom="0" percent="0" rank="0" text="" dxfId="12">
      <formula>ISNUMBER(SEARCH("delayed",G5))</formula>
    </cfRule>
    <cfRule type="expression" priority="55" aboveAverage="0" equalAverage="0" bottom="0" percent="0" rank="0" text="" dxfId="13">
      <formula>ISNUMBER(SEARCH("Critical",G5))</formula>
    </cfRule>
    <cfRule type="expression" priority="56" aboveAverage="0" equalAverage="0" bottom="0" percent="0" rank="0" text="" dxfId="13">
      <formula>ISNUMBER(SEARCH("critical",G5))</formula>
    </cfRule>
    <cfRule type="expression" priority="57" aboveAverage="0" equalAverage="0" bottom="0" percent="0" rank="0" text="" dxfId="13">
      <formula>ISNUMBER(SEARCH("Overdue",G5))</formula>
    </cfRule>
    <cfRule type="expression" priority="58" aboveAverage="0" equalAverage="0" bottom="0" percent="0" rank="0" text="" dxfId="13">
      <formula>ISNUMBER(SEARCH("Rejected",G5))</formula>
    </cfRule>
    <cfRule type="expression" priority="59" aboveAverage="0" equalAverage="0" bottom="0" percent="0" rank="0" text="" dxfId="13">
      <formula>ISNUMBER(SEARCH("rejected",G5))</formula>
    </cfRule>
  </conditionalFormatting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0" t="s">
        <v>103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  <c r="G2" s="3"/>
    </row>
    <row r="4" customFormat="false" ht="25.5" hidden="false" customHeight="true" outlineLevel="0" collapsed="false">
      <c r="A4" s="11" t="s">
        <v>104</v>
      </c>
      <c r="B4" s="11" t="s">
        <v>105</v>
      </c>
      <c r="C4" s="11" t="s">
        <v>106</v>
      </c>
      <c r="D4" s="11" t="s">
        <v>107</v>
      </c>
      <c r="E4" s="11" t="s">
        <v>108</v>
      </c>
      <c r="F4" s="11" t="s">
        <v>109</v>
      </c>
      <c r="G4" s="11" t="s">
        <v>110</v>
      </c>
    </row>
    <row r="5" customFormat="false" ht="15" hidden="false" customHeight="false" outlineLevel="0" collapsed="false">
      <c r="A5" s="12" t="s">
        <v>111</v>
      </c>
      <c r="B5" s="12" t="s">
        <v>74</v>
      </c>
      <c r="C5" s="13" t="n">
        <v>0</v>
      </c>
      <c r="D5" s="13" t="n">
        <v>0.1</v>
      </c>
      <c r="E5" s="17" t="n">
        <v>0.1</v>
      </c>
      <c r="F5" s="12" t="s">
        <v>34</v>
      </c>
      <c r="G5" s="5" t="s">
        <v>112</v>
      </c>
    </row>
    <row r="6" customFormat="false" ht="15" hidden="false" customHeight="false" outlineLevel="0" collapsed="false">
      <c r="A6" s="15" t="s">
        <v>113</v>
      </c>
      <c r="B6" s="15" t="s">
        <v>74</v>
      </c>
      <c r="C6" s="16" t="n">
        <v>0.1</v>
      </c>
      <c r="D6" s="16" t="n">
        <v>0.2</v>
      </c>
      <c r="E6" s="18" t="n">
        <v>0.1</v>
      </c>
      <c r="F6" s="15" t="s">
        <v>34</v>
      </c>
      <c r="G6" s="14" t="s">
        <v>114</v>
      </c>
    </row>
    <row r="7" customFormat="false" ht="15" hidden="false" customHeight="false" outlineLevel="0" collapsed="false">
      <c r="A7" s="12" t="s">
        <v>115</v>
      </c>
      <c r="B7" s="12" t="s">
        <v>74</v>
      </c>
      <c r="C7" s="13" t="n">
        <v>0.2</v>
      </c>
      <c r="D7" s="13" t="n">
        <v>0.3</v>
      </c>
      <c r="E7" s="17" t="n">
        <v>0.1</v>
      </c>
      <c r="F7" s="12" t="s">
        <v>34</v>
      </c>
      <c r="G7" s="5" t="s">
        <v>116</v>
      </c>
    </row>
    <row r="8" customFormat="false" ht="15" hidden="false" customHeight="false" outlineLevel="0" collapsed="false">
      <c r="A8" s="15" t="s">
        <v>117</v>
      </c>
      <c r="B8" s="15" t="s">
        <v>66</v>
      </c>
      <c r="C8" s="16" t="n">
        <v>0</v>
      </c>
      <c r="D8" s="16" t="n">
        <v>0.25</v>
      </c>
      <c r="E8" s="18" t="n">
        <v>0.25</v>
      </c>
      <c r="F8" s="15" t="s">
        <v>34</v>
      </c>
      <c r="G8" s="14" t="s">
        <v>118</v>
      </c>
    </row>
    <row r="9" customFormat="false" ht="15" hidden="false" customHeight="false" outlineLevel="0" collapsed="false">
      <c r="A9" s="12" t="s">
        <v>119</v>
      </c>
      <c r="B9" s="12" t="s">
        <v>66</v>
      </c>
      <c r="C9" s="13" t="n">
        <v>0.25</v>
      </c>
      <c r="D9" s="13" t="n">
        <v>0.5</v>
      </c>
      <c r="E9" s="17" t="n">
        <v>0.25</v>
      </c>
      <c r="F9" s="12" t="s">
        <v>34</v>
      </c>
      <c r="G9" s="5" t="s">
        <v>120</v>
      </c>
    </row>
  </sheetData>
  <autoFilter ref="A4:G9"/>
  <mergeCells count="2">
    <mergeCell ref="A1:G1"/>
    <mergeCell ref="A2:G2"/>
  </mergeCells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7" min="6" style="0" width="20"/>
  </cols>
  <sheetData>
    <row r="1" customFormat="false" ht="17.35" hidden="false" customHeight="false" outlineLevel="0" collapsed="false">
      <c r="A1" s="10" t="s">
        <v>121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3" t="s">
        <v>30</v>
      </c>
      <c r="B2" s="3"/>
      <c r="C2" s="3"/>
      <c r="D2" s="3"/>
      <c r="E2" s="3"/>
      <c r="F2" s="3"/>
      <c r="G2" s="3"/>
    </row>
    <row r="4" customFormat="false" ht="25.5" hidden="false" customHeight="true" outlineLevel="0" collapsed="false">
      <c r="A4" s="11" t="s">
        <v>104</v>
      </c>
      <c r="B4" s="11" t="s">
        <v>122</v>
      </c>
      <c r="C4" s="11" t="s">
        <v>123</v>
      </c>
      <c r="D4" s="11" t="s">
        <v>105</v>
      </c>
      <c r="E4" s="11" t="s">
        <v>124</v>
      </c>
      <c r="F4" s="11" t="s">
        <v>125</v>
      </c>
      <c r="G4" s="11" t="s">
        <v>126</v>
      </c>
    </row>
    <row r="5" customFormat="false" ht="15" hidden="false" customHeight="false" outlineLevel="0" collapsed="false">
      <c r="A5" s="12" t="s">
        <v>115</v>
      </c>
      <c r="B5" s="12" t="s">
        <v>34</v>
      </c>
      <c r="C5" s="12" t="s">
        <v>127</v>
      </c>
      <c r="D5" s="12" t="s">
        <v>74</v>
      </c>
      <c r="E5" s="12" t="s">
        <v>128</v>
      </c>
      <c r="F5" s="5" t="s">
        <v>129</v>
      </c>
      <c r="G5" s="5" t="s">
        <v>130</v>
      </c>
    </row>
    <row r="6" customFormat="false" ht="15" hidden="false" customHeight="false" outlineLevel="0" collapsed="false">
      <c r="A6" s="15" t="s">
        <v>131</v>
      </c>
      <c r="B6" s="15" t="s">
        <v>34</v>
      </c>
      <c r="C6" s="15" t="s">
        <v>132</v>
      </c>
      <c r="D6" s="15" t="s">
        <v>87</v>
      </c>
      <c r="E6" s="15" t="s">
        <v>133</v>
      </c>
      <c r="F6" s="14" t="s">
        <v>133</v>
      </c>
      <c r="G6" s="14" t="s">
        <v>134</v>
      </c>
    </row>
    <row r="7" customFormat="false" ht="15" hidden="false" customHeight="false" outlineLevel="0" collapsed="false">
      <c r="A7" s="12" t="s">
        <v>119</v>
      </c>
      <c r="B7" s="12" t="s">
        <v>34</v>
      </c>
      <c r="C7" s="12" t="s">
        <v>127</v>
      </c>
      <c r="D7" s="12" t="s">
        <v>66</v>
      </c>
      <c r="E7" s="12" t="s">
        <v>128</v>
      </c>
      <c r="F7" s="5" t="s">
        <v>135</v>
      </c>
      <c r="G7" s="5" t="s">
        <v>136</v>
      </c>
    </row>
    <row r="8" customFormat="false" ht="15" hidden="false" customHeight="false" outlineLevel="0" collapsed="false">
      <c r="A8" s="15" t="s">
        <v>137</v>
      </c>
      <c r="B8" s="15" t="s">
        <v>34</v>
      </c>
      <c r="C8" s="15" t="s">
        <v>138</v>
      </c>
      <c r="D8" s="15" t="s">
        <v>63</v>
      </c>
      <c r="E8" s="15" t="s">
        <v>139</v>
      </c>
      <c r="F8" s="14" t="s">
        <v>140</v>
      </c>
      <c r="G8" s="14" t="s">
        <v>141</v>
      </c>
    </row>
  </sheetData>
  <autoFilter ref="A4:G8"/>
  <mergeCells count="2">
    <mergeCell ref="A1:G1"/>
    <mergeCell ref="A2:G2"/>
  </mergeCells>
  <printOptions headings="false" gridLines="false" gridLinesSet="true" horizontalCentered="true" verticalCentered="false"/>
  <pageMargins left="0.4" right="0.4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&amp;C&amp;"Arial,Regular"&amp;10&amp;KbbbbbbProjectHub — Project Status Report</oddHeader>
    <oddFooter>&amp;L&amp;"Arial,Regular"&amp;8&amp;K888888Confidential — Internal Use&amp;C&amp;"Arial,Regular"&amp;8&amp;K888888Page &amp;P of &amp;N&amp;R&amp;"Arial,Regular"&amp;8&amp;K888888Generated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2026-08-14T06:18:55Z</dcterms:created>
  <dc:creator>openpyxl</dc:creator>
  <dc:description/>
  <dc:language>en-US</dc:language>
  <cp:lastModifiedBy/>
  <dcterms:modified xsi:type="dcterms:W3CDTF">2026-08-14T06:18:55Z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